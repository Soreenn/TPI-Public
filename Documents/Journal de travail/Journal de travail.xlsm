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2B3ADE60-3AB3-4284-93FC-646844F52F1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</calcChain>
</file>

<file path=xl/sharedStrings.xml><?xml version="1.0" encoding="utf-8"?>
<sst xmlns="http://schemas.openxmlformats.org/spreadsheetml/2006/main" count="217" uniqueCount="88">
  <si>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</si>
  <si>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</si>
  <si>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</si>
  <si>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</si>
  <si>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</si>
  <si>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</si>
  <si>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</si>
  <si>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</si>
  <si>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</si>
  <si>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</si>
  <si>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</si>
  <si>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</si>
  <si>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</si>
  <si>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</si>
  <si>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PROJET: TPI</t>
  </si>
  <si>
    <t>Classe: SI-C4a</t>
  </si>
  <si>
    <t>Réalisé par: Gabriel Pereira</t>
  </si>
  <si>
    <t>Remise des cahier des charge et entretient avec M.Obserson</t>
  </si>
  <si>
    <t>Plannification initale</t>
  </si>
  <si>
    <t>Première entretient avec le premier expert</t>
  </si>
  <si>
    <t>Heure de début</t>
  </si>
  <si>
    <t>Heure de fin</t>
  </si>
  <si>
    <t>Etude du CDC, listage des tâches et création du diagramme de Gantt</t>
  </si>
  <si>
    <t>Création du repository GitHub</t>
  </si>
  <si>
    <t>Création du projet sur IceScrum</t>
  </si>
  <si>
    <t>Création du repository GitHub et demande de username Github à faire</t>
  </si>
  <si>
    <t>Problèmes d'apparition du projet crée à l'avance, à régler vite</t>
  </si>
  <si>
    <t>Correction du diagramme de Gantt</t>
  </si>
  <si>
    <t>Correction des dates incorrecte et ajout de la visite de l'expert</t>
  </si>
  <si>
    <t>Ajouts des backlogs, des stories et des sprints</t>
  </si>
  <si>
    <t>Création des maquettes</t>
  </si>
  <si>
    <t>Création des maquettes graphique pour l'application web sur Balsamiq Wireframes</t>
  </si>
  <si>
    <t>Ajout des backlogs, stories et des sprints sur Icescrum, demande de création de comptes à faire</t>
  </si>
  <si>
    <t>Maquettes desktop terminés</t>
  </si>
  <si>
    <t>Création du sprint 1</t>
  </si>
  <si>
    <t xml:space="preserve">Création du sprint 1 sur Icescrum avec Mme.Andolfatto </t>
  </si>
  <si>
    <t>Création du MCD</t>
  </si>
  <si>
    <t>Création du MCD à reprendre après la documentation</t>
  </si>
  <si>
    <t>Avancée sur la documentation</t>
  </si>
  <si>
    <t>Avancée sur la documentation, finir l'analyse mardi avec MLD et MVC</t>
  </si>
  <si>
    <t>Création du MCD à terminer pour faire le MLD et documentation</t>
  </si>
  <si>
    <t>MCD terminé</t>
  </si>
  <si>
    <t>Création du MLD</t>
  </si>
  <si>
    <t>Création du MLD à partir du MCD</t>
  </si>
  <si>
    <t>1,5</t>
  </si>
  <si>
    <t>Mise en place de l'environnement et installation des dépendances</t>
  </si>
  <si>
    <t>Installation de composer, nodejs, tailwindcss, daisyui</t>
  </si>
  <si>
    <t>Création du routeur et tests</t>
  </si>
  <si>
    <t>Création de la navigation</t>
  </si>
  <si>
    <t>Création du renderer, css à régler dans le futur (Utilisation du CDN à la place)</t>
  </si>
  <si>
    <t>Création de la navigation terminé</t>
  </si>
  <si>
    <t>Correction du MCD et MLD</t>
  </si>
  <si>
    <t>Création de classes utilitaires</t>
  </si>
  <si>
    <t>Création des classes Renderer, App et Model</t>
  </si>
  <si>
    <t>Classe modèle terminée, les features peuvent être faite</t>
  </si>
  <si>
    <t>Modiciation de la navbar</t>
  </si>
  <si>
    <t>Modification d'accès dans la navbar selon le type d'utilisateur (guest, utilisateur)</t>
  </si>
  <si>
    <t>Implémentation de la connexion</t>
  </si>
  <si>
    <t>Implementation de la connexion utilisateur</t>
  </si>
  <si>
    <t>Implementation de la connexion utilisateur terminée</t>
  </si>
  <si>
    <t>Implémentation de l'inscription</t>
  </si>
  <si>
    <t>Implémentation de l'inscription terminée et fonctionnelle</t>
  </si>
  <si>
    <t>Implémentation de la création de sujets</t>
  </si>
  <si>
    <t>Plannification du sprint 2 et sprint review avec M.Andolfato</t>
  </si>
  <si>
    <t>Implémentation de la création de sujets et de la vue sur l'accueil</t>
  </si>
  <si>
    <t>Implémentation de la création de sujets terminé et de vue sur l'accueil en cours</t>
  </si>
  <si>
    <t>Implémentation de la création de sujets terminé et de vue sur l'accueil terminé avec des données statiques.</t>
  </si>
  <si>
    <t>Implémentation de base de la vue sujet</t>
  </si>
  <si>
    <t>Rendez-vous avec le deuxième expert</t>
  </si>
  <si>
    <t>Implémentation de base de la vue sujet presque terminée</t>
  </si>
  <si>
    <t>Implémentation de base de la vue sujet, résolution des bugs et manquants</t>
  </si>
  <si>
    <t>Implémentation des vues par catégorie</t>
  </si>
  <si>
    <t>Implémentation des vues par catégorie terminés</t>
  </si>
  <si>
    <t>Implémentation des abonnements</t>
  </si>
  <si>
    <t>Implémentation des abonnements terminés</t>
  </si>
  <si>
    <t>Résolution de multiples bugs</t>
  </si>
  <si>
    <t>Implémentation des images fonctionnelles</t>
  </si>
  <si>
    <t>Implémentation de la confirmation de compte et résolution de bugs</t>
  </si>
  <si>
    <t>Implémentation de la confirmation de compte terminé et résolution de bugs</t>
  </si>
  <si>
    <t>Correction de bugs et de failles XSS</t>
  </si>
  <si>
    <t>Correction de bugs et ajout sur SwissCenter</t>
  </si>
  <si>
    <t>Implémentation du profile et corrections de bugs</t>
  </si>
  <si>
    <t>Impléementation des vidéos et corrections de bugs</t>
  </si>
  <si>
    <t>Correction de bugs</t>
  </si>
  <si>
    <t>Correction de bugs et améliorations de fonctions</t>
  </si>
  <si>
    <t>Sprint Review</t>
  </si>
  <si>
    <t>Finition de la documentation</t>
  </si>
  <si>
    <t>Correction de bugs et amélioration de fonctionnalités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</si>
</sst>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164" fontId="0" fillId="0" borderId="1" xfId="0" applyNumberFormat="1" applyBorder="1" applyAlignment="1" applyProtection="1">
      <alignment horizontal="center" vertical="center"/>
    </xf>
    <xf numFmtId="2" fontId="0" fillId="0" borderId="1" xfId="0" applyNumberFormat="1" applyBorder="1" applyAlignment="1" applyProtection="1">
      <alignment horizontal="center" vertical="center"/>
    </xf>
    <xf numFmtId="2" fontId="0" fillId="0" borderId="0" xfId="0" applyNumberFormat="1" applyProtection="1"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25000000}">
  <cacheSource type="worksheet">
    <worksheetSource ref="A6:F71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K72"/>
  <sheetViews>
    <sheetView tabSelected="1" zoomScale="85" zoomScaleNormal="85" workbookViewId="0">
      <selection activeCell="G10" sqref="G10"/>
    </sheetView>
  </sheetViews>
  <sheetFormatPr baseColWidth="10" defaultColWidth="9.140625" defaultRowHeight="15" x14ac:dyDescent="0.25"/>
  <cols>
    <col min="1" max="1" width="14.28515625" style="8" customWidth="1"/>
    <col min="2" max="2" width="9.5703125" style="19" bestFit="1" customWidth="1"/>
    <col min="3" max="3" width="17" style="15" bestFit="1" customWidth="1"/>
    <col min="4" max="4" width="13.28515625" style="8" bestFit="1" customWidth="1"/>
    <col min="5" max="5" width="25.85546875" style="16" bestFit="1" customWidth="1"/>
    <col min="6" max="6" width="27.140625" style="16" customWidth="1"/>
    <col min="7" max="7" width="58.42578125" style="11" customWidth="1"/>
    <col min="8" max="8" width="69" style="11" customWidth="1"/>
    <col min="9" max="16384" width="9.140625" style="11"/>
  </cols>
  <sheetData>
    <row r="1" spans="1:11" s="21" customFormat="1" ht="14.1" customHeight="1" x14ac:dyDescent="0.2">
      <c r="A1" s="27" t="s">
        <v>14</v>
      </c>
      <c r="B1" s="27"/>
      <c r="C1" s="27"/>
      <c r="D1" s="27"/>
      <c r="E1" s="27"/>
      <c r="F1" s="27"/>
    </row>
    <row r="2" spans="1:11" s="21" customFormat="1" ht="14.25" x14ac:dyDescent="0.2">
      <c r="A2" s="27"/>
      <c r="B2" s="27"/>
      <c r="C2" s="27"/>
      <c r="D2" s="27"/>
      <c r="E2" s="27"/>
      <c r="F2" s="27"/>
    </row>
    <row r="3" spans="1:11" s="21" customFormat="1" ht="24.95" customHeight="1" x14ac:dyDescent="0.2">
      <c r="D3" s="22"/>
      <c r="E3" s="22" t="s">
        <v>16</v>
      </c>
      <c r="F3" s="23" t="s">
        <v>15</v>
      </c>
    </row>
    <row r="6" spans="1:11" ht="24" customHeight="1" x14ac:dyDescent="0.25">
      <c r="A6" s="6" t="s">
        <v>1</v>
      </c>
      <c r="B6" s="17" t="s">
        <v>11</v>
      </c>
      <c r="C6" s="17" t="s">
        <v>20</v>
      </c>
      <c r="D6" s="17" t="s">
        <v>21</v>
      </c>
      <c r="E6" s="9" t="s">
        <v>2</v>
      </c>
      <c r="F6" s="6" t="s">
        <v>3</v>
      </c>
      <c r="G6" s="10" t="s">
        <v>0</v>
      </c>
      <c r="H6" s="10" t="s">
        <v>13</v>
      </c>
    </row>
    <row r="7" spans="1:11" ht="51" customHeight="1" x14ac:dyDescent="0.25">
      <c r="A7" s="7">
        <v>45079</v>
      </c>
      <c r="B7" s="18">
        <f>WEEKNUM(A7)</f>
        <v>22</v>
      </c>
      <c r="C7" s="24">
        <v>0.40972222222222227</v>
      </c>
      <c r="D7" s="24">
        <v>0.57638888888888895</v>
      </c>
      <c r="E7" s="25">
        <v>4</v>
      </c>
      <c r="F7" s="12" t="s">
        <v>8</v>
      </c>
      <c r="G7" s="13" t="s">
        <v>86</v>
      </c>
      <c r="H7" s="13" t="s">
        <v>86</v>
      </c>
      <c r="I7" s="26"/>
      <c r="K7" s="26"/>
    </row>
    <row r="8" spans="1:11" ht="51" customHeight="1" x14ac:dyDescent="0.25">
      <c r="A8" s="7">
        <v>45078</v>
      </c>
      <c r="B8" s="18">
        <f>WEEKNUM(A8)</f>
        <v>22</v>
      </c>
      <c r="C8" s="24">
        <v>0.60416666666666663</v>
      </c>
      <c r="D8" s="24">
        <v>0.70833333333333337</v>
      </c>
      <c r="E8" s="25">
        <v>2.5</v>
      </c>
      <c r="F8" s="12" t="s">
        <v>8</v>
      </c>
      <c r="G8" s="13" t="s">
        <v>38</v>
      </c>
      <c r="H8" s="13" t="s">
        <v>38</v>
      </c>
      <c r="I8" s="26"/>
      <c r="K8" s="26"/>
    </row>
    <row r="9" spans="1:11" ht="51" customHeight="1" x14ac:dyDescent="0.25">
      <c r="A9" s="7">
        <v>45078</v>
      </c>
      <c r="B9" s="18">
        <f>WEEKNUM(A9)</f>
        <v>22</v>
      </c>
      <c r="C9" s="24">
        <v>0.5625</v>
      </c>
      <c r="D9" s="24">
        <v>0.60416666666666663</v>
      </c>
      <c r="E9" s="25">
        <v>1</v>
      </c>
      <c r="F9" s="12" t="s">
        <v>6</v>
      </c>
      <c r="G9" s="13" t="s">
        <v>87</v>
      </c>
      <c r="H9" s="13" t="s">
        <v>87</v>
      </c>
      <c r="I9" s="26"/>
      <c r="K9" s="26"/>
    </row>
    <row r="10" spans="1:11" ht="51" customHeight="1" x14ac:dyDescent="0.25">
      <c r="A10" s="7">
        <v>45076</v>
      </c>
      <c r="B10" s="18">
        <f>WEEKNUM(A10)</f>
        <v>22</v>
      </c>
      <c r="C10" s="24">
        <v>0.5625</v>
      </c>
      <c r="D10" s="24">
        <v>0.70833333333333337</v>
      </c>
      <c r="E10" s="25">
        <v>3.5</v>
      </c>
      <c r="F10" s="12" t="s">
        <v>6</v>
      </c>
      <c r="G10" s="13" t="s">
        <v>87</v>
      </c>
      <c r="H10" s="13" t="s">
        <v>87</v>
      </c>
      <c r="I10" s="26"/>
      <c r="K10" s="26"/>
    </row>
    <row r="11" spans="1:11" ht="51" customHeight="1" x14ac:dyDescent="0.25">
      <c r="A11" s="7">
        <v>45075</v>
      </c>
      <c r="B11" s="18">
        <f>WEEKNUM(A11)</f>
        <v>22</v>
      </c>
      <c r="C11" s="24">
        <v>0.39583333333333331</v>
      </c>
      <c r="D11" s="24">
        <v>0.5</v>
      </c>
      <c r="E11" s="25">
        <v>2.5</v>
      </c>
      <c r="F11" s="12" t="s">
        <v>6</v>
      </c>
      <c r="G11" s="13" t="s">
        <v>87</v>
      </c>
      <c r="H11" s="13" t="s">
        <v>87</v>
      </c>
      <c r="I11" s="26"/>
      <c r="K11" s="26"/>
    </row>
    <row r="12" spans="1:11" ht="51" customHeight="1" x14ac:dyDescent="0.25">
      <c r="A12" s="7">
        <v>45076</v>
      </c>
      <c r="B12" s="18">
        <f t="shared" ref="B12" si="0">WEEKNUM(A12)</f>
        <v>22</v>
      </c>
      <c r="C12" s="24">
        <v>0.33333333333333331</v>
      </c>
      <c r="D12" s="24">
        <v>0.39583333333333331</v>
      </c>
      <c r="E12" s="25">
        <v>1.5</v>
      </c>
      <c r="F12" s="12" t="s">
        <v>5</v>
      </c>
      <c r="G12" s="13" t="s">
        <v>85</v>
      </c>
      <c r="H12" s="13" t="s">
        <v>85</v>
      </c>
      <c r="I12" s="26"/>
      <c r="K12" s="26"/>
    </row>
    <row r="13" spans="1:11" ht="51" customHeight="1" x14ac:dyDescent="0.25">
      <c r="A13" s="7">
        <v>45072</v>
      </c>
      <c r="B13" s="18">
        <f t="shared" ref="B13" si="1">WEEKNUM(A13)</f>
        <v>21</v>
      </c>
      <c r="C13" s="24">
        <v>0.58333333333333337</v>
      </c>
      <c r="D13" s="24">
        <v>0.625</v>
      </c>
      <c r="E13" s="25">
        <v>1</v>
      </c>
      <c r="F13" s="12" t="s">
        <v>8</v>
      </c>
      <c r="G13" s="13" t="s">
        <v>38</v>
      </c>
      <c r="H13" s="13" t="s">
        <v>38</v>
      </c>
      <c r="I13" s="26"/>
      <c r="K13" s="26"/>
    </row>
    <row r="14" spans="1:11" ht="51" customHeight="1" x14ac:dyDescent="0.25">
      <c r="A14" s="7">
        <v>45072</v>
      </c>
      <c r="B14" s="18">
        <f t="shared" ref="B14" si="2">WEEKNUM(A14)</f>
        <v>21</v>
      </c>
      <c r="C14" s="24">
        <v>0.5625</v>
      </c>
      <c r="D14" s="24">
        <v>0.58333333333333337</v>
      </c>
      <c r="E14" s="25">
        <v>0.5</v>
      </c>
      <c r="F14" s="12" t="s">
        <v>6</v>
      </c>
      <c r="G14" s="13" t="s">
        <v>51</v>
      </c>
      <c r="H14" s="13" t="s">
        <v>51</v>
      </c>
      <c r="I14" s="26"/>
      <c r="K14" s="26"/>
    </row>
    <row r="15" spans="1:11" ht="51" customHeight="1" x14ac:dyDescent="0.25">
      <c r="A15" s="7">
        <v>45072</v>
      </c>
      <c r="B15" s="18">
        <f t="shared" ref="B15" si="3">WEEKNUM(A15)</f>
        <v>21</v>
      </c>
      <c r="C15" s="24">
        <v>0.41666666666666669</v>
      </c>
      <c r="D15" s="24">
        <v>0.5</v>
      </c>
      <c r="E15" s="25">
        <v>2</v>
      </c>
      <c r="F15" s="12" t="s">
        <v>6</v>
      </c>
      <c r="G15" s="13" t="s">
        <v>84</v>
      </c>
      <c r="H15" s="13" t="s">
        <v>84</v>
      </c>
      <c r="I15" s="26"/>
      <c r="K15" s="26"/>
    </row>
    <row r="16" spans="1:11" ht="51" customHeight="1" x14ac:dyDescent="0.25">
      <c r="A16" s="7">
        <v>45071</v>
      </c>
      <c r="B16" s="18">
        <f t="shared" ref="B16" si="4">WEEKNUM(A16)</f>
        <v>21</v>
      </c>
      <c r="C16" s="24">
        <v>0.6875</v>
      </c>
      <c r="D16" s="24">
        <v>0.70833333333333337</v>
      </c>
      <c r="E16" s="25">
        <v>0.5</v>
      </c>
      <c r="F16" s="12" t="s">
        <v>6</v>
      </c>
      <c r="G16" s="13" t="s">
        <v>83</v>
      </c>
      <c r="H16" s="13" t="s">
        <v>83</v>
      </c>
      <c r="I16" s="26"/>
      <c r="K16" s="26"/>
    </row>
    <row r="17" spans="1:11" ht="51" customHeight="1" x14ac:dyDescent="0.25">
      <c r="A17" s="7">
        <v>45071</v>
      </c>
      <c r="B17" s="18">
        <f t="shared" ref="B17" si="5">WEEKNUM(A17)</f>
        <v>21</v>
      </c>
      <c r="C17" s="24">
        <v>0.64583333333333337</v>
      </c>
      <c r="D17" s="24">
        <v>0.6875</v>
      </c>
      <c r="E17" s="25">
        <v>1</v>
      </c>
      <c r="F17" s="12" t="s">
        <v>6</v>
      </c>
      <c r="G17" s="13" t="s">
        <v>82</v>
      </c>
      <c r="H17" s="13" t="s">
        <v>82</v>
      </c>
      <c r="I17" s="26"/>
      <c r="K17" s="26"/>
    </row>
    <row r="18" spans="1:11" ht="51" customHeight="1" x14ac:dyDescent="0.25">
      <c r="A18" s="7">
        <v>45071</v>
      </c>
      <c r="B18" s="18">
        <f t="shared" ref="B18" si="6">WEEKNUM(A18)</f>
        <v>21</v>
      </c>
      <c r="C18" s="24">
        <v>0.5625</v>
      </c>
      <c r="D18" s="24">
        <v>0.64583333333333337</v>
      </c>
      <c r="E18" s="25">
        <v>2</v>
      </c>
      <c r="F18" s="12" t="s">
        <v>6</v>
      </c>
      <c r="G18" s="13" t="s">
        <v>81</v>
      </c>
      <c r="H18" s="13" t="s">
        <v>81</v>
      </c>
      <c r="I18" s="26"/>
      <c r="K18" s="26"/>
    </row>
    <row r="19" spans="1:11" ht="51" customHeight="1" x14ac:dyDescent="0.25">
      <c r="A19" s="7">
        <v>45071</v>
      </c>
      <c r="B19" s="18">
        <f t="shared" ref="B19" si="7">WEEKNUM(A19)</f>
        <v>21</v>
      </c>
      <c r="C19" s="24">
        <v>0.33333333333333331</v>
      </c>
      <c r="D19" s="24">
        <v>0.5</v>
      </c>
      <c r="E19" s="25">
        <v>4</v>
      </c>
      <c r="F19" s="12" t="s">
        <v>6</v>
      </c>
      <c r="G19" s="13" t="s">
        <v>80</v>
      </c>
      <c r="H19" s="13" t="s">
        <v>80</v>
      </c>
      <c r="I19" s="26"/>
      <c r="K19" s="26"/>
    </row>
    <row r="20" spans="1:11" ht="51" customHeight="1" x14ac:dyDescent="0.25">
      <c r="A20" s="7">
        <v>45069</v>
      </c>
      <c r="B20" s="18">
        <f t="shared" ref="B20" si="8">WEEKNUM(A20)</f>
        <v>21</v>
      </c>
      <c r="C20" s="24">
        <v>0.625</v>
      </c>
      <c r="D20" s="24">
        <v>0.70833333333333337</v>
      </c>
      <c r="E20" s="25">
        <v>2</v>
      </c>
      <c r="F20" s="12" t="s">
        <v>6</v>
      </c>
      <c r="G20" s="13" t="s">
        <v>79</v>
      </c>
      <c r="H20" s="13" t="s">
        <v>79</v>
      </c>
      <c r="I20" s="26"/>
      <c r="K20" s="26"/>
    </row>
    <row r="21" spans="1:11" ht="51" customHeight="1" x14ac:dyDescent="0.25">
      <c r="A21" s="7">
        <v>45069</v>
      </c>
      <c r="B21" s="18">
        <f t="shared" ref="B21" si="9">WEEKNUM(A21)</f>
        <v>21</v>
      </c>
      <c r="C21" s="24">
        <v>0.5625</v>
      </c>
      <c r="D21" s="24">
        <v>0.625</v>
      </c>
      <c r="E21" s="25">
        <v>1.5</v>
      </c>
      <c r="F21" s="12" t="s">
        <v>6</v>
      </c>
      <c r="G21" s="13" t="s">
        <v>77</v>
      </c>
      <c r="H21" s="13" t="s">
        <v>78</v>
      </c>
      <c r="I21" s="26"/>
      <c r="K21" s="26"/>
    </row>
    <row r="22" spans="1:11" ht="51" customHeight="1" x14ac:dyDescent="0.25">
      <c r="A22" s="7">
        <v>45069</v>
      </c>
      <c r="B22" s="18">
        <f t="shared" ref="B22" si="10">WEEKNUM(A22)</f>
        <v>21</v>
      </c>
      <c r="C22" s="24">
        <v>0.45833333333333331</v>
      </c>
      <c r="D22" s="24">
        <v>0.5</v>
      </c>
      <c r="E22" s="25">
        <v>1</v>
      </c>
      <c r="F22" s="12" t="s">
        <v>6</v>
      </c>
      <c r="G22" s="13" t="s">
        <v>75</v>
      </c>
      <c r="H22" s="13" t="s">
        <v>75</v>
      </c>
      <c r="I22" s="26"/>
      <c r="K22" s="26"/>
    </row>
    <row r="23" spans="1:11" ht="51" customHeight="1" x14ac:dyDescent="0.25">
      <c r="A23" s="7">
        <v>45069</v>
      </c>
      <c r="B23" s="18">
        <f>WEEKNUM(A23)</f>
        <v>21</v>
      </c>
      <c r="C23" s="24">
        <v>0.41666666666666669</v>
      </c>
      <c r="D23" s="24">
        <v>0.45833333333333331</v>
      </c>
      <c r="E23" s="25">
        <v>1</v>
      </c>
      <c r="F23" s="12" t="s">
        <v>6</v>
      </c>
      <c r="G23" s="13" t="s">
        <v>76</v>
      </c>
      <c r="H23" s="13" t="s">
        <v>76</v>
      </c>
      <c r="I23" s="26"/>
      <c r="K23" s="26"/>
    </row>
    <row r="24" spans="1:11" ht="51" customHeight="1" x14ac:dyDescent="0.25">
      <c r="A24" s="7">
        <v>45069</v>
      </c>
      <c r="B24" s="18">
        <f t="shared" ref="B24" si="11">WEEKNUM(A24)</f>
        <v>21</v>
      </c>
      <c r="C24" s="24">
        <v>0.33333333333333331</v>
      </c>
      <c r="D24" s="24">
        <v>0.41666666666666669</v>
      </c>
      <c r="E24" s="25">
        <v>2</v>
      </c>
      <c r="F24" s="12" t="s">
        <v>6</v>
      </c>
      <c r="G24" s="13" t="s">
        <v>75</v>
      </c>
      <c r="H24" s="13" t="s">
        <v>75</v>
      </c>
      <c r="I24" s="26"/>
      <c r="K24" s="26"/>
    </row>
    <row r="25" spans="1:11" ht="51" customHeight="1" x14ac:dyDescent="0.25">
      <c r="A25" s="7">
        <v>45068</v>
      </c>
      <c r="B25" s="18">
        <f t="shared" ref="B25" si="12">WEEKNUM(A25)</f>
        <v>21</v>
      </c>
      <c r="C25" s="24">
        <v>0.5625</v>
      </c>
      <c r="D25" s="24">
        <v>0.60416666666666663</v>
      </c>
      <c r="E25" s="25">
        <v>1</v>
      </c>
      <c r="F25" s="12" t="s">
        <v>6</v>
      </c>
      <c r="G25" s="13" t="s">
        <v>73</v>
      </c>
      <c r="H25" s="13" t="s">
        <v>74</v>
      </c>
      <c r="I25" s="26"/>
      <c r="K25" s="26"/>
    </row>
    <row r="26" spans="1:11" ht="51" customHeight="1" x14ac:dyDescent="0.25">
      <c r="A26" s="7">
        <v>45068</v>
      </c>
      <c r="B26" s="18">
        <f t="shared" ref="B26:B36" si="13">WEEKNUM(A26)</f>
        <v>21</v>
      </c>
      <c r="C26" s="24">
        <v>0.47916666666666669</v>
      </c>
      <c r="D26" s="24">
        <v>0.5</v>
      </c>
      <c r="E26" s="25">
        <v>0.5</v>
      </c>
      <c r="F26" s="12" t="s">
        <v>6</v>
      </c>
      <c r="G26" s="13" t="s">
        <v>71</v>
      </c>
      <c r="H26" s="13" t="s">
        <v>72</v>
      </c>
      <c r="I26" s="26"/>
      <c r="K26" s="26"/>
    </row>
    <row r="27" spans="1:11" ht="51" customHeight="1" x14ac:dyDescent="0.25">
      <c r="A27" s="7">
        <v>45068</v>
      </c>
      <c r="B27" s="18">
        <f t="shared" si="13"/>
        <v>21</v>
      </c>
      <c r="C27" s="24">
        <v>0.33333333333333331</v>
      </c>
      <c r="D27" s="24">
        <v>0.47916666666666669</v>
      </c>
      <c r="E27" s="25">
        <v>3.5</v>
      </c>
      <c r="F27" s="12" t="s">
        <v>6</v>
      </c>
      <c r="G27" s="13" t="s">
        <v>70</v>
      </c>
      <c r="H27" s="13" t="s">
        <v>70</v>
      </c>
      <c r="I27" s="26"/>
      <c r="K27" s="26"/>
    </row>
    <row r="28" spans="1:11" ht="51" customHeight="1" x14ac:dyDescent="0.25">
      <c r="A28" s="7">
        <v>45062</v>
      </c>
      <c r="B28" s="18">
        <f t="shared" si="13"/>
        <v>20</v>
      </c>
      <c r="C28" s="24">
        <v>0.60416666666666663</v>
      </c>
      <c r="D28" s="24">
        <v>0.70833333333333337</v>
      </c>
      <c r="E28" s="25">
        <v>2.2999999999999998</v>
      </c>
      <c r="F28" s="12" t="s">
        <v>6</v>
      </c>
      <c r="G28" s="13" t="s">
        <v>67</v>
      </c>
      <c r="H28" s="13" t="s">
        <v>69</v>
      </c>
      <c r="I28" s="26"/>
      <c r="K28" s="26"/>
    </row>
    <row r="29" spans="1:11" ht="51" customHeight="1" x14ac:dyDescent="0.25">
      <c r="A29" s="7">
        <v>45062</v>
      </c>
      <c r="B29" s="18">
        <f t="shared" si="13"/>
        <v>20</v>
      </c>
      <c r="C29" s="24">
        <v>0.57638888888888895</v>
      </c>
      <c r="D29" s="24">
        <v>0.58680555555555558</v>
      </c>
      <c r="E29" s="25">
        <v>0.25</v>
      </c>
      <c r="F29" s="12" t="s">
        <v>5</v>
      </c>
      <c r="G29" s="13" t="s">
        <v>68</v>
      </c>
      <c r="H29" s="13" t="s">
        <v>68</v>
      </c>
      <c r="I29" s="26"/>
      <c r="K29" s="26"/>
    </row>
    <row r="30" spans="1:11" ht="51" customHeight="1" x14ac:dyDescent="0.25">
      <c r="A30" s="7">
        <v>45062</v>
      </c>
      <c r="B30" s="18">
        <f t="shared" si="13"/>
        <v>20</v>
      </c>
      <c r="C30" s="24">
        <v>0.41666666666666669</v>
      </c>
      <c r="D30" s="24">
        <v>0.5</v>
      </c>
      <c r="E30" s="25">
        <v>2</v>
      </c>
      <c r="F30" s="12" t="s">
        <v>6</v>
      </c>
      <c r="G30" s="13" t="s">
        <v>67</v>
      </c>
      <c r="H30" s="13" t="s">
        <v>67</v>
      </c>
      <c r="I30" s="26"/>
      <c r="K30" s="26"/>
    </row>
    <row r="31" spans="1:11" ht="51" customHeight="1" x14ac:dyDescent="0.25">
      <c r="A31" s="7">
        <v>45062</v>
      </c>
      <c r="B31" s="18">
        <f t="shared" si="13"/>
        <v>20</v>
      </c>
      <c r="C31" s="24">
        <v>0.39583333333333331</v>
      </c>
      <c r="D31" s="24">
        <v>0.41666666666666669</v>
      </c>
      <c r="E31" s="25">
        <v>0.5</v>
      </c>
      <c r="F31" s="12" t="s">
        <v>6</v>
      </c>
      <c r="G31" s="13" t="s">
        <v>67</v>
      </c>
      <c r="H31" s="13" t="s">
        <v>67</v>
      </c>
      <c r="I31" s="26"/>
      <c r="K31" s="26"/>
    </row>
    <row r="32" spans="1:11" ht="51" customHeight="1" x14ac:dyDescent="0.25">
      <c r="A32" s="7">
        <v>45062</v>
      </c>
      <c r="B32" s="18">
        <f t="shared" si="13"/>
        <v>20</v>
      </c>
      <c r="C32" s="24">
        <v>0.33333333333333331</v>
      </c>
      <c r="D32" s="24">
        <v>0.39583333333333331</v>
      </c>
      <c r="E32" s="25">
        <v>1.5</v>
      </c>
      <c r="F32" s="12" t="s">
        <v>6</v>
      </c>
      <c r="G32" s="13" t="s">
        <v>64</v>
      </c>
      <c r="H32" s="13" t="s">
        <v>66</v>
      </c>
      <c r="I32" s="26"/>
      <c r="K32" s="26"/>
    </row>
    <row r="33" spans="1:11" ht="51" customHeight="1" x14ac:dyDescent="0.25">
      <c r="A33" s="7">
        <v>45061</v>
      </c>
      <c r="B33" s="18">
        <f t="shared" si="13"/>
        <v>20</v>
      </c>
      <c r="C33" s="24">
        <v>0.5625</v>
      </c>
      <c r="D33" s="24">
        <v>0.625</v>
      </c>
      <c r="E33" s="25">
        <v>1.5</v>
      </c>
      <c r="F33" s="12" t="s">
        <v>6</v>
      </c>
      <c r="G33" s="13" t="s">
        <v>64</v>
      </c>
      <c r="H33" s="13" t="s">
        <v>65</v>
      </c>
      <c r="I33" s="26"/>
      <c r="K33" s="26"/>
    </row>
    <row r="34" spans="1:11" ht="51" customHeight="1" x14ac:dyDescent="0.25">
      <c r="A34" s="7">
        <v>45061</v>
      </c>
      <c r="B34" s="18">
        <f t="shared" si="13"/>
        <v>20</v>
      </c>
      <c r="C34" s="24">
        <v>0.375</v>
      </c>
      <c r="D34" s="24">
        <v>0.5</v>
      </c>
      <c r="E34" s="25">
        <v>3</v>
      </c>
      <c r="F34" s="12" t="s">
        <v>6</v>
      </c>
      <c r="G34" s="13" t="s">
        <v>62</v>
      </c>
      <c r="H34" s="13" t="s">
        <v>62</v>
      </c>
      <c r="I34" s="26"/>
      <c r="K34" s="26"/>
    </row>
    <row r="35" spans="1:11" ht="51" customHeight="1" x14ac:dyDescent="0.25">
      <c r="A35" s="7">
        <v>45061</v>
      </c>
      <c r="B35" s="18">
        <f t="shared" si="13"/>
        <v>20</v>
      </c>
      <c r="C35" s="24">
        <v>0.35416666666666669</v>
      </c>
      <c r="D35" s="24">
        <v>0.375</v>
      </c>
      <c r="E35" s="25">
        <v>0.5</v>
      </c>
      <c r="F35" s="12" t="s">
        <v>5</v>
      </c>
      <c r="G35" s="13" t="s">
        <v>63</v>
      </c>
      <c r="H35" s="13" t="s">
        <v>63</v>
      </c>
      <c r="I35" s="26"/>
      <c r="K35" s="26"/>
    </row>
    <row r="36" spans="1:11" ht="51" customHeight="1" x14ac:dyDescent="0.25">
      <c r="A36" s="7">
        <v>45061</v>
      </c>
      <c r="B36" s="18">
        <f t="shared" si="13"/>
        <v>20</v>
      </c>
      <c r="C36" s="24">
        <v>0.33333333333333331</v>
      </c>
      <c r="D36" s="24">
        <v>0.35416666666666669</v>
      </c>
      <c r="E36" s="25">
        <v>0.5</v>
      </c>
      <c r="F36" s="12" t="s">
        <v>6</v>
      </c>
      <c r="G36" s="13" t="s">
        <v>62</v>
      </c>
      <c r="H36" s="13" t="s">
        <v>62</v>
      </c>
      <c r="I36" s="26"/>
      <c r="K36" s="26"/>
    </row>
    <row r="37" spans="1:11" ht="51" customHeight="1" x14ac:dyDescent="0.25">
      <c r="A37" s="7">
        <v>45058</v>
      </c>
      <c r="B37" s="18">
        <f t="shared" ref="B37" si="14">WEEKNUM(A37)</f>
        <v>19</v>
      </c>
      <c r="C37" s="24">
        <v>0.60416666666666663</v>
      </c>
      <c r="D37" s="24">
        <v>0.625</v>
      </c>
      <c r="E37" s="25">
        <v>0.5</v>
      </c>
      <c r="F37" s="12" t="s">
        <v>8</v>
      </c>
      <c r="G37" s="13" t="s">
        <v>38</v>
      </c>
      <c r="H37" s="13" t="s">
        <v>38</v>
      </c>
      <c r="I37" s="26"/>
      <c r="K37" s="26"/>
    </row>
    <row r="38" spans="1:11" ht="51" customHeight="1" x14ac:dyDescent="0.25">
      <c r="A38" s="7">
        <v>45058</v>
      </c>
      <c r="B38" s="18">
        <f t="shared" ref="B38" si="15">WEEKNUM(A38)</f>
        <v>19</v>
      </c>
      <c r="C38" s="24">
        <v>0.5625</v>
      </c>
      <c r="D38" s="24">
        <v>0.60416666666666663</v>
      </c>
      <c r="E38" s="25">
        <v>1</v>
      </c>
      <c r="F38" s="12" t="s">
        <v>6</v>
      </c>
      <c r="G38" s="13" t="s">
        <v>60</v>
      </c>
      <c r="H38" s="13" t="s">
        <v>61</v>
      </c>
      <c r="I38" s="26"/>
      <c r="K38" s="26"/>
    </row>
    <row r="39" spans="1:11" ht="51" customHeight="1" x14ac:dyDescent="0.25">
      <c r="A39" s="7">
        <v>45058</v>
      </c>
      <c r="B39" s="18">
        <f t="shared" ref="B39" si="16">WEEKNUM(A39)</f>
        <v>19</v>
      </c>
      <c r="C39" s="24">
        <v>0.41666666666666669</v>
      </c>
      <c r="D39" s="24">
        <v>0.5</v>
      </c>
      <c r="E39" s="25">
        <v>2</v>
      </c>
      <c r="F39" s="12" t="s">
        <v>6</v>
      </c>
      <c r="G39" s="13" t="s">
        <v>60</v>
      </c>
      <c r="H39" s="13" t="s">
        <v>60</v>
      </c>
      <c r="I39" s="26"/>
      <c r="K39" s="26"/>
    </row>
    <row r="40" spans="1:11" ht="51" customHeight="1" x14ac:dyDescent="0.25">
      <c r="A40" s="7">
        <v>45057</v>
      </c>
      <c r="B40" s="18">
        <f t="shared" ref="B40" si="17">WEEKNUM(A40)</f>
        <v>19</v>
      </c>
      <c r="C40" s="24">
        <v>0.64583333333333337</v>
      </c>
      <c r="D40" s="24">
        <v>0.70833333333333337</v>
      </c>
      <c r="E40" s="25">
        <v>1.5</v>
      </c>
      <c r="F40" s="12" t="s">
        <v>6</v>
      </c>
      <c r="G40" s="13" t="s">
        <v>60</v>
      </c>
      <c r="H40" s="13" t="s">
        <v>60</v>
      </c>
      <c r="I40" s="26"/>
      <c r="K40" s="26"/>
    </row>
    <row r="41" spans="1:11" ht="51" customHeight="1" x14ac:dyDescent="0.25">
      <c r="A41" s="7">
        <v>45057</v>
      </c>
      <c r="B41" s="18">
        <f t="shared" ref="B41" si="18">WEEKNUM(A41)</f>
        <v>19</v>
      </c>
      <c r="C41" s="24">
        <v>0.5625</v>
      </c>
      <c r="D41" s="24">
        <v>0.64583333333333337</v>
      </c>
      <c r="E41" s="25">
        <v>2.5</v>
      </c>
      <c r="F41" s="12" t="s">
        <v>6</v>
      </c>
      <c r="G41" s="13" t="s">
        <v>57</v>
      </c>
      <c r="H41" s="13" t="s">
        <v>59</v>
      </c>
      <c r="I41" s="26"/>
      <c r="K41" s="26"/>
    </row>
    <row r="42" spans="1:11" ht="51" customHeight="1" x14ac:dyDescent="0.25">
      <c r="A42" s="7">
        <v>45057</v>
      </c>
      <c r="B42" s="18">
        <f t="shared" ref="B42" si="19">WEEKNUM(A42)</f>
        <v>19</v>
      </c>
      <c r="C42" s="24">
        <v>0.41666666666666669</v>
      </c>
      <c r="D42" s="24">
        <v>0.5</v>
      </c>
      <c r="E42" s="25">
        <v>2</v>
      </c>
      <c r="F42" s="12" t="s">
        <v>6</v>
      </c>
      <c r="G42" s="13" t="s">
        <v>57</v>
      </c>
      <c r="H42" s="13" t="s">
        <v>58</v>
      </c>
      <c r="I42" s="26"/>
      <c r="K42" s="26"/>
    </row>
    <row r="43" spans="1:11" ht="51" customHeight="1" x14ac:dyDescent="0.25">
      <c r="A43" s="7">
        <v>45057</v>
      </c>
      <c r="B43" s="18">
        <f t="shared" ref="B43" si="20">WEEKNUM(A43)</f>
        <v>19</v>
      </c>
      <c r="C43" s="24">
        <v>0.38194444444444442</v>
      </c>
      <c r="D43" s="24">
        <v>0.3923611111111111</v>
      </c>
      <c r="E43" s="25">
        <v>0.25</v>
      </c>
      <c r="F43" s="12" t="s">
        <v>6</v>
      </c>
      <c r="G43" s="13" t="s">
        <v>55</v>
      </c>
      <c r="H43" s="13" t="s">
        <v>56</v>
      </c>
      <c r="I43" s="26"/>
      <c r="K43" s="26"/>
    </row>
    <row r="44" spans="1:11" ht="51" customHeight="1" x14ac:dyDescent="0.25">
      <c r="A44" s="7">
        <v>45057</v>
      </c>
      <c r="B44" s="18">
        <f t="shared" ref="B44" si="21">WEEKNUM(A44)</f>
        <v>19</v>
      </c>
      <c r="C44" s="24">
        <v>0.33333333333333331</v>
      </c>
      <c r="D44" s="24">
        <v>0.375</v>
      </c>
      <c r="E44" s="25">
        <v>1</v>
      </c>
      <c r="F44" s="12" t="s">
        <v>6</v>
      </c>
      <c r="G44" s="13" t="s">
        <v>52</v>
      </c>
      <c r="H44" s="13" t="s">
        <v>54</v>
      </c>
      <c r="I44" s="14"/>
      <c r="K44" s="26"/>
    </row>
    <row r="45" spans="1:11" ht="51" customHeight="1" x14ac:dyDescent="0.25">
      <c r="A45" s="7">
        <v>45055</v>
      </c>
      <c r="B45" s="18">
        <f t="shared" ref="B45" si="22">WEEKNUM(A45)</f>
        <v>19</v>
      </c>
      <c r="C45" s="24">
        <v>0.6875</v>
      </c>
      <c r="D45" s="24">
        <v>0.70833333333333337</v>
      </c>
      <c r="E45" s="25">
        <v>0.5</v>
      </c>
      <c r="F45" s="12" t="s">
        <v>8</v>
      </c>
      <c r="G45" s="13" t="s">
        <v>8</v>
      </c>
      <c r="H45" s="13" t="s">
        <v>38</v>
      </c>
      <c r="I45" s="14"/>
      <c r="K45" s="26"/>
    </row>
    <row r="46" spans="1:11" ht="51" customHeight="1" x14ac:dyDescent="0.25">
      <c r="A46" s="7">
        <v>45055</v>
      </c>
      <c r="B46" s="18">
        <f t="shared" ref="B46" si="23">WEEKNUM(A46)</f>
        <v>19</v>
      </c>
      <c r="C46" s="24">
        <v>0.63888888888888895</v>
      </c>
      <c r="D46" s="24">
        <v>0.68055555555555547</v>
      </c>
      <c r="E46" s="25">
        <v>1</v>
      </c>
      <c r="F46" s="12" t="s">
        <v>6</v>
      </c>
      <c r="G46" s="13" t="s">
        <v>52</v>
      </c>
      <c r="H46" s="13" t="s">
        <v>53</v>
      </c>
      <c r="I46" s="14"/>
      <c r="K46" s="26"/>
    </row>
    <row r="47" spans="1:11" ht="51" customHeight="1" x14ac:dyDescent="0.25">
      <c r="A47" s="7">
        <v>45055</v>
      </c>
      <c r="B47" s="18">
        <f t="shared" ref="B47" si="24">WEEKNUM(A47)</f>
        <v>19</v>
      </c>
      <c r="C47" s="24">
        <v>0.58333333333333337</v>
      </c>
      <c r="D47" s="24">
        <v>0.625</v>
      </c>
      <c r="E47" s="25">
        <v>1</v>
      </c>
      <c r="F47" s="12" t="s">
        <v>5</v>
      </c>
      <c r="G47" s="13" t="s">
        <v>51</v>
      </c>
      <c r="H47" s="13" t="s">
        <v>51</v>
      </c>
      <c r="I47" s="14"/>
      <c r="K47" s="26"/>
    </row>
    <row r="48" spans="1:11" ht="51" customHeight="1" x14ac:dyDescent="0.25">
      <c r="A48" s="7">
        <v>45055</v>
      </c>
      <c r="B48" s="18">
        <f t="shared" ref="B48" si="25">WEEKNUM(A48)</f>
        <v>19</v>
      </c>
      <c r="C48" s="24">
        <v>0.5625</v>
      </c>
      <c r="D48" s="24">
        <v>0.58333333333333337</v>
      </c>
      <c r="E48" s="25">
        <v>0.5</v>
      </c>
      <c r="F48" s="12" t="s">
        <v>6</v>
      </c>
      <c r="G48" s="13" t="s">
        <v>48</v>
      </c>
      <c r="H48" s="13" t="s">
        <v>50</v>
      </c>
      <c r="I48" s="14"/>
      <c r="K48" s="26"/>
    </row>
    <row r="49" spans="1:11" ht="51" customHeight="1" x14ac:dyDescent="0.25">
      <c r="A49" s="7">
        <v>45055</v>
      </c>
      <c r="B49" s="18">
        <f t="shared" ref="B49" si="26">WEEKNUM(A49)</f>
        <v>19</v>
      </c>
      <c r="C49" s="24">
        <v>0.41666666666666669</v>
      </c>
      <c r="D49" s="24">
        <v>0.5</v>
      </c>
      <c r="E49" s="25">
        <v>2</v>
      </c>
      <c r="F49" s="12" t="s">
        <v>6</v>
      </c>
      <c r="G49" s="13" t="s">
        <v>48</v>
      </c>
      <c r="H49" s="13" t="s">
        <v>48</v>
      </c>
      <c r="I49" s="14"/>
      <c r="K49" s="26"/>
    </row>
    <row r="50" spans="1:11" ht="51" customHeight="1" x14ac:dyDescent="0.25">
      <c r="A50" s="7">
        <v>45055</v>
      </c>
      <c r="B50" s="18">
        <f t="shared" ref="B50" si="27">WEEKNUM(A50)</f>
        <v>19</v>
      </c>
      <c r="C50" s="24">
        <v>0.33333333333333331</v>
      </c>
      <c r="D50" s="24">
        <v>0.39583333333333331</v>
      </c>
      <c r="E50" s="25">
        <v>1.3</v>
      </c>
      <c r="F50" s="12" t="s">
        <v>5</v>
      </c>
      <c r="G50" s="13" t="s">
        <v>45</v>
      </c>
      <c r="H50" s="13" t="s">
        <v>49</v>
      </c>
      <c r="I50" s="14"/>
      <c r="K50" s="26"/>
    </row>
    <row r="51" spans="1:11" ht="51" customHeight="1" x14ac:dyDescent="0.25">
      <c r="A51" s="7">
        <v>45054</v>
      </c>
      <c r="B51" s="18">
        <f t="shared" ref="B51" si="28">WEEKNUM(A51)</f>
        <v>19</v>
      </c>
      <c r="C51" s="24">
        <v>0.5625</v>
      </c>
      <c r="D51" s="24">
        <v>0.625</v>
      </c>
      <c r="E51" s="25">
        <v>1.3</v>
      </c>
      <c r="F51" s="12" t="s">
        <v>5</v>
      </c>
      <c r="G51" s="13" t="s">
        <v>45</v>
      </c>
      <c r="H51" s="13" t="s">
        <v>47</v>
      </c>
      <c r="I51" s="14"/>
      <c r="K51" s="26"/>
    </row>
    <row r="52" spans="1:11" ht="51" customHeight="1" x14ac:dyDescent="0.25">
      <c r="A52" s="7">
        <v>45054</v>
      </c>
      <c r="B52" s="18">
        <f t="shared" ref="B52" si="29">WEEKNUM(A52)</f>
        <v>19</v>
      </c>
      <c r="C52" s="24">
        <v>0.43055555555555558</v>
      </c>
      <c r="D52" s="24">
        <v>0.49305555555555558</v>
      </c>
      <c r="E52" s="25">
        <v>1.3</v>
      </c>
      <c r="F52" s="12" t="s">
        <v>5</v>
      </c>
      <c r="G52" s="13" t="s">
        <v>45</v>
      </c>
      <c r="H52" s="13" t="s">
        <v>46</v>
      </c>
      <c r="I52" s="14"/>
      <c r="K52" s="26"/>
    </row>
    <row r="53" spans="1:11" ht="51" customHeight="1" x14ac:dyDescent="0.25">
      <c r="A53" s="7">
        <v>45054</v>
      </c>
      <c r="B53" s="18">
        <f t="shared" ref="B53" si="30">WEEKNUM(A53)</f>
        <v>19</v>
      </c>
      <c r="C53" s="24">
        <v>0.40972222222222227</v>
      </c>
      <c r="D53" s="24">
        <v>0.43055555555555558</v>
      </c>
      <c r="E53" s="25">
        <v>0.5</v>
      </c>
      <c r="F53" s="12" t="s">
        <v>5</v>
      </c>
      <c r="G53" s="13" t="s">
        <v>42</v>
      </c>
      <c r="H53" s="13" t="s">
        <v>43</v>
      </c>
      <c r="I53" s="14"/>
      <c r="K53" s="26"/>
    </row>
    <row r="54" spans="1:11" ht="51" customHeight="1" x14ac:dyDescent="0.25">
      <c r="A54" s="7">
        <v>45054</v>
      </c>
      <c r="B54" s="18">
        <f t="shared" ref="B54" si="31">WEEKNUM(A54)</f>
        <v>19</v>
      </c>
      <c r="C54" s="24">
        <v>0.34027777777777773</v>
      </c>
      <c r="D54" s="24">
        <v>0.39583333333333331</v>
      </c>
      <c r="E54" s="25" t="s">
        <v>44</v>
      </c>
      <c r="F54" s="12" t="s">
        <v>5</v>
      </c>
      <c r="G54" s="13" t="s">
        <v>36</v>
      </c>
      <c r="H54" s="13" t="s">
        <v>41</v>
      </c>
      <c r="I54" s="14"/>
      <c r="K54" s="26"/>
    </row>
    <row r="55" spans="1:11" ht="51" customHeight="1" x14ac:dyDescent="0.25">
      <c r="A55" s="7">
        <v>45051</v>
      </c>
      <c r="B55" s="18">
        <f t="shared" ref="B55" si="32">WEEKNUM(A55)</f>
        <v>18</v>
      </c>
      <c r="C55" s="24">
        <v>0.61111111111111105</v>
      </c>
      <c r="D55" s="24">
        <v>0.62847222222222221</v>
      </c>
      <c r="E55" s="25">
        <v>0.25</v>
      </c>
      <c r="F55" s="12" t="s">
        <v>5</v>
      </c>
      <c r="G55" s="13" t="s">
        <v>36</v>
      </c>
      <c r="H55" s="13" t="s">
        <v>40</v>
      </c>
      <c r="I55" s="14"/>
      <c r="K55" s="26"/>
    </row>
    <row r="56" spans="1:11" ht="51" customHeight="1" x14ac:dyDescent="0.25">
      <c r="A56" s="7">
        <v>45051</v>
      </c>
      <c r="B56" s="18">
        <f t="shared" ref="B56" si="33">WEEKNUM(A56)</f>
        <v>18</v>
      </c>
      <c r="C56" s="24">
        <v>0.56944444444444442</v>
      </c>
      <c r="D56" s="24">
        <v>0.61111111111111105</v>
      </c>
      <c r="E56" s="25">
        <v>1</v>
      </c>
      <c r="F56" s="12" t="s">
        <v>8</v>
      </c>
      <c r="G56" s="13" t="s">
        <v>8</v>
      </c>
      <c r="H56" s="13" t="s">
        <v>39</v>
      </c>
      <c r="I56" s="14"/>
      <c r="K56" s="26"/>
    </row>
    <row r="57" spans="1:11" ht="51" customHeight="1" x14ac:dyDescent="0.25">
      <c r="A57" s="7">
        <v>45051</v>
      </c>
      <c r="B57" s="18">
        <f t="shared" ref="B57" si="34">WEEKNUM(A57)</f>
        <v>18</v>
      </c>
      <c r="C57" s="24">
        <v>0.41666666666666669</v>
      </c>
      <c r="D57" s="24">
        <v>0.51041666666666663</v>
      </c>
      <c r="E57" s="25">
        <v>2.25</v>
      </c>
      <c r="F57" s="12" t="s">
        <v>5</v>
      </c>
      <c r="G57" s="13" t="s">
        <v>8</v>
      </c>
      <c r="H57" s="13" t="s">
        <v>38</v>
      </c>
      <c r="I57" s="14"/>
      <c r="K57" s="26"/>
    </row>
    <row r="58" spans="1:11" ht="51" customHeight="1" x14ac:dyDescent="0.25">
      <c r="A58" s="7">
        <v>45050</v>
      </c>
      <c r="B58" s="18">
        <f t="shared" ref="B58" si="35">WEEKNUM(A58)</f>
        <v>18</v>
      </c>
      <c r="C58" s="24">
        <v>0.6875</v>
      </c>
      <c r="D58" s="24">
        <v>0.70833333333333337</v>
      </c>
      <c r="E58" s="25">
        <v>0.5</v>
      </c>
      <c r="F58" s="12" t="s">
        <v>5</v>
      </c>
      <c r="G58" s="13" t="s">
        <v>8</v>
      </c>
      <c r="H58" s="13" t="s">
        <v>38</v>
      </c>
      <c r="I58" s="14"/>
      <c r="K58" s="26"/>
    </row>
    <row r="59" spans="1:11" ht="51" customHeight="1" x14ac:dyDescent="0.25">
      <c r="A59" s="7">
        <v>45050</v>
      </c>
      <c r="B59" s="18">
        <f t="shared" ref="B59" si="36">WEEKNUM(A59)</f>
        <v>18</v>
      </c>
      <c r="C59" s="24">
        <v>0.66666666666666663</v>
      </c>
      <c r="D59" s="24">
        <v>0.6875</v>
      </c>
      <c r="E59" s="25">
        <v>0.5</v>
      </c>
      <c r="F59" s="12" t="s">
        <v>5</v>
      </c>
      <c r="G59" s="13" t="s">
        <v>36</v>
      </c>
      <c r="H59" s="13" t="s">
        <v>37</v>
      </c>
      <c r="I59" s="14"/>
      <c r="K59" s="26"/>
    </row>
    <row r="60" spans="1:11" ht="51" customHeight="1" x14ac:dyDescent="0.25">
      <c r="A60" s="7">
        <v>45050</v>
      </c>
      <c r="B60" s="18">
        <f t="shared" ref="B60" si="37">WEEKNUM(A60)</f>
        <v>18</v>
      </c>
      <c r="C60" s="24">
        <v>0.64930555555555558</v>
      </c>
      <c r="D60" s="24">
        <v>0.65972222222222221</v>
      </c>
      <c r="E60" s="25">
        <v>0.25</v>
      </c>
      <c r="F60" s="12" t="s">
        <v>5</v>
      </c>
      <c r="G60" s="13" t="s">
        <v>34</v>
      </c>
      <c r="H60" s="13" t="s">
        <v>35</v>
      </c>
      <c r="I60" s="14"/>
      <c r="K60" s="26"/>
    </row>
    <row r="61" spans="1:11" ht="51" customHeight="1" x14ac:dyDescent="0.25">
      <c r="A61" s="7">
        <v>45050</v>
      </c>
      <c r="B61" s="18">
        <f t="shared" ref="B61" si="38">WEEKNUM(A61)</f>
        <v>18</v>
      </c>
      <c r="C61" s="24">
        <v>0.56944444444444442</v>
      </c>
      <c r="D61" s="24">
        <v>0.64930555555555558</v>
      </c>
      <c r="E61" s="25">
        <v>2</v>
      </c>
      <c r="F61" s="12" t="s">
        <v>5</v>
      </c>
      <c r="G61" s="13" t="s">
        <v>30</v>
      </c>
      <c r="H61" s="13" t="s">
        <v>33</v>
      </c>
      <c r="I61" s="14"/>
    </row>
    <row r="62" spans="1:11" ht="51" customHeight="1" x14ac:dyDescent="0.25">
      <c r="A62" s="7">
        <v>45050</v>
      </c>
      <c r="B62" s="18">
        <f t="shared" ref="B62" si="39">WEEKNUM(A62)</f>
        <v>18</v>
      </c>
      <c r="C62" s="24">
        <v>0.41666666666666669</v>
      </c>
      <c r="D62" s="24">
        <v>0.51041666666666663</v>
      </c>
      <c r="E62" s="25">
        <v>2.25</v>
      </c>
      <c r="F62" s="12" t="s">
        <v>5</v>
      </c>
      <c r="G62" s="13" t="s">
        <v>30</v>
      </c>
      <c r="H62" s="13" t="s">
        <v>31</v>
      </c>
      <c r="I62" s="14"/>
    </row>
    <row r="63" spans="1:11" ht="51" customHeight="1" x14ac:dyDescent="0.25">
      <c r="A63" s="7">
        <v>45050</v>
      </c>
      <c r="B63" s="18">
        <f t="shared" ref="B63" si="40">WEEKNUM(A63)</f>
        <v>18</v>
      </c>
      <c r="C63" s="24">
        <v>0.37847222222222227</v>
      </c>
      <c r="D63" s="24">
        <v>0.39930555555555558</v>
      </c>
      <c r="E63" s="25">
        <v>0.5</v>
      </c>
      <c r="F63" s="12" t="s">
        <v>5</v>
      </c>
      <c r="G63" s="13" t="s">
        <v>30</v>
      </c>
      <c r="H63" s="13" t="s">
        <v>31</v>
      </c>
      <c r="I63" s="14"/>
    </row>
    <row r="64" spans="1:11" ht="51" customHeight="1" x14ac:dyDescent="0.25">
      <c r="A64" s="7">
        <v>45050</v>
      </c>
      <c r="B64" s="18">
        <f t="shared" ref="B64" si="41">WEEKNUM(A64)</f>
        <v>18</v>
      </c>
      <c r="C64" s="24">
        <v>0.34375</v>
      </c>
      <c r="D64" s="24">
        <v>0.375</v>
      </c>
      <c r="E64" s="25">
        <v>0.75</v>
      </c>
      <c r="F64" s="12" t="s">
        <v>5</v>
      </c>
      <c r="G64" s="13" t="s">
        <v>29</v>
      </c>
      <c r="H64" s="13" t="s">
        <v>32</v>
      </c>
      <c r="I64" s="14"/>
    </row>
    <row r="65" spans="1:9" ht="51" customHeight="1" x14ac:dyDescent="0.25">
      <c r="A65" s="7">
        <v>45050</v>
      </c>
      <c r="B65" s="18">
        <f t="shared" ref="B65" si="42">WEEKNUM(A65)</f>
        <v>18</v>
      </c>
      <c r="C65" s="24">
        <v>0.33333333333333331</v>
      </c>
      <c r="D65" s="24">
        <v>0.34375</v>
      </c>
      <c r="E65" s="25">
        <v>0.25</v>
      </c>
      <c r="F65" s="12" t="s">
        <v>5</v>
      </c>
      <c r="G65" s="13" t="s">
        <v>27</v>
      </c>
      <c r="H65" s="13" t="s">
        <v>28</v>
      </c>
      <c r="I65" s="14"/>
    </row>
    <row r="66" spans="1:9" ht="51" customHeight="1" x14ac:dyDescent="0.25">
      <c r="A66" s="7">
        <v>45048</v>
      </c>
      <c r="B66" s="18">
        <f t="shared" ref="B66" si="43">WEEKNUM(A66)</f>
        <v>18</v>
      </c>
      <c r="C66" s="24">
        <v>0.68055555555555547</v>
      </c>
      <c r="D66" s="24">
        <v>0.69791666666666663</v>
      </c>
      <c r="E66" s="25">
        <v>0.25</v>
      </c>
      <c r="F66" s="12" t="s">
        <v>5</v>
      </c>
      <c r="G66" s="13" t="s">
        <v>30</v>
      </c>
      <c r="H66" s="13" t="s">
        <v>31</v>
      </c>
      <c r="I66" s="14"/>
    </row>
    <row r="67" spans="1:9" ht="51" customHeight="1" x14ac:dyDescent="0.25">
      <c r="A67" s="7">
        <v>45048</v>
      </c>
      <c r="B67" s="18">
        <f t="shared" ref="B67" si="44">WEEKNUM(A67)</f>
        <v>18</v>
      </c>
      <c r="C67" s="24">
        <v>0.66319444444444442</v>
      </c>
      <c r="D67" s="24">
        <v>0.67361111111111116</v>
      </c>
      <c r="E67" s="25">
        <v>0.25</v>
      </c>
      <c r="F67" s="12" t="s">
        <v>5</v>
      </c>
      <c r="G67" s="13" t="s">
        <v>24</v>
      </c>
      <c r="H67" s="13" t="s">
        <v>26</v>
      </c>
      <c r="I67" s="14"/>
    </row>
    <row r="68" spans="1:9" ht="51" customHeight="1" x14ac:dyDescent="0.25">
      <c r="A68" s="7">
        <v>45048</v>
      </c>
      <c r="B68" s="18">
        <f t="shared" ref="B68" si="45">WEEKNUM(A68)</f>
        <v>18</v>
      </c>
      <c r="C68" s="24">
        <v>0.64583333333333337</v>
      </c>
      <c r="D68" s="24">
        <v>0.65625</v>
      </c>
      <c r="E68" s="25">
        <v>0.25</v>
      </c>
      <c r="F68" s="12" t="s">
        <v>5</v>
      </c>
      <c r="G68" s="13" t="s">
        <v>23</v>
      </c>
      <c r="H68" s="13" t="s">
        <v>25</v>
      </c>
      <c r="I68" s="14"/>
    </row>
    <row r="69" spans="1:9" ht="51" customHeight="1" x14ac:dyDescent="0.25">
      <c r="A69" s="7">
        <v>45048</v>
      </c>
      <c r="B69" s="18">
        <f t="shared" ref="B69" si="46">WEEKNUM(A69)</f>
        <v>18</v>
      </c>
      <c r="C69" s="24">
        <v>0.5625</v>
      </c>
      <c r="D69" s="24">
        <v>0.625</v>
      </c>
      <c r="E69" s="25">
        <v>1.5</v>
      </c>
      <c r="F69" s="12" t="s">
        <v>5</v>
      </c>
      <c r="G69" s="13" t="s">
        <v>18</v>
      </c>
      <c r="H69" s="13" t="s">
        <v>22</v>
      </c>
      <c r="I69" s="14"/>
    </row>
    <row r="70" spans="1:9" ht="51" customHeight="1" x14ac:dyDescent="0.25">
      <c r="A70" s="7">
        <v>45048</v>
      </c>
      <c r="B70" s="18">
        <f t="shared" ref="B70" si="47">WEEKNUM(A70)</f>
        <v>18</v>
      </c>
      <c r="C70" s="24">
        <v>0.375</v>
      </c>
      <c r="D70" s="24">
        <v>0.5</v>
      </c>
      <c r="E70" s="25">
        <v>3</v>
      </c>
      <c r="F70" s="12" t="s">
        <v>5</v>
      </c>
      <c r="G70" s="13" t="s">
        <v>18</v>
      </c>
      <c r="H70" s="13" t="s">
        <v>22</v>
      </c>
      <c r="I70" s="14"/>
    </row>
    <row r="71" spans="1:9" ht="51" customHeight="1" x14ac:dyDescent="0.25">
      <c r="A71" s="7">
        <v>45048</v>
      </c>
      <c r="B71" s="18">
        <f t="shared" ref="B71" si="48">WEEKNUM(A71)</f>
        <v>18</v>
      </c>
      <c r="C71" s="24">
        <v>0.33333333333333331</v>
      </c>
      <c r="D71" s="24">
        <v>0.375</v>
      </c>
      <c r="E71" s="25">
        <v>1</v>
      </c>
      <c r="F71" s="12" t="s">
        <v>5</v>
      </c>
      <c r="G71" s="13" t="s">
        <v>19</v>
      </c>
      <c r="H71" s="13" t="s">
        <v>17</v>
      </c>
      <c r="I71" s="14"/>
    </row>
    <row r="72" spans="1:9" x14ac:dyDescent="0.25">
      <c r="A72" s="20"/>
    </row>
  </sheetData>
  <sheetProtection selectLockedCells="1"/>
  <mergeCells count="1">
    <mergeCell ref="A1:F2"/>
  </mergeCells>
  <pageMargins left="0.25" right="0.25" top="0.75" bottom="0.75" header="0.3" footer="0.3"/>
  <pageSetup paperSize="9" scale="6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F7:F71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E5" sqref="E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2023-06-02T11:34:53Z</dcterms:modified>
</cp:coreProperties>
</file>